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002209\Downloads\"/>
    </mc:Choice>
  </mc:AlternateContent>
  <xr:revisionPtr revIDLastSave="0" documentId="13_ncr:1_{34CAB1A2-6191-4075-B704-09BEB40C21BA}" xr6:coauthVersionLast="47" xr6:coauthVersionMax="47" xr10:uidLastSave="{00000000-0000-0000-0000-000000000000}"/>
  <bookViews>
    <workbookView xWindow="-120" yWindow="-120" windowWidth="20730" windowHeight="11040" xr2:uid="{18AED545-52B9-4FD1-9AF2-171752CF0A9D}"/>
  </bookViews>
  <sheets>
    <sheet name="app" sheetId="3" r:id="rId1"/>
    <sheet name="perfil_fii" sheetId="1" r:id="rId2"/>
  </sheets>
  <externalReferences>
    <externalReference r:id="rId3"/>
  </externalReferences>
  <definedNames>
    <definedName name="aporte">app!$D$16</definedName>
    <definedName name="patrimonio">app!$D$19</definedName>
    <definedName name="qtd_anos">app!$D$17</definedName>
    <definedName name="rendimento_carteira">app!$D$12</definedName>
    <definedName name="salario">app!$D$11</definedName>
    <definedName name="sugestao_investimento">app!$D$13</definedName>
    <definedName name="taxa_mensal">app!$D$18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13" i="3"/>
  <c r="C34" i="3"/>
  <c r="C35" i="3"/>
  <c r="C36" i="3"/>
  <c r="D36" i="3" s="1"/>
  <c r="C37" i="3"/>
  <c r="C38" i="3"/>
  <c r="D38" i="3" s="1"/>
  <c r="C33" i="3"/>
  <c r="C30" i="3"/>
  <c r="C27" i="3"/>
  <c r="D27" i="3" s="1"/>
  <c r="C26" i="3"/>
  <c r="D26" i="3" s="1"/>
  <c r="C25" i="3"/>
  <c r="D25" i="3" s="1"/>
  <c r="C24" i="3"/>
  <c r="D24" i="3" s="1"/>
  <c r="C23" i="3"/>
  <c r="D23" i="3" s="1"/>
  <c r="D19" i="3"/>
  <c r="D20" i="3" s="1"/>
  <c r="H4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D33" i="3" l="1"/>
  <c r="D37" i="3"/>
  <c r="D34" i="3"/>
  <c r="D35" i="3"/>
  <c r="D39" i="3" l="1"/>
</calcChain>
</file>

<file path=xl/sharedStrings.xml><?xml version="1.0" encoding="utf-8"?>
<sst xmlns="http://schemas.openxmlformats.org/spreadsheetml/2006/main" count="70" uniqueCount="34">
  <si>
    <t>Chave</t>
  </si>
  <si>
    <t>Perfil</t>
  </si>
  <si>
    <t>Tipo de FII</t>
  </si>
  <si>
    <t>%</t>
  </si>
  <si>
    <t>Conservador</t>
  </si>
  <si>
    <t>Papel</t>
  </si>
  <si>
    <t>Tijolo</t>
  </si>
  <si>
    <t>Híbridos</t>
  </si>
  <si>
    <t>FOFs</t>
  </si>
  <si>
    <t>Desenvolvimento</t>
  </si>
  <si>
    <t>Hotelarias</t>
  </si>
  <si>
    <t>Moderado</t>
  </si>
  <si>
    <t>Agressivo</t>
  </si>
  <si>
    <t>Moderado-Tijolo</t>
  </si>
  <si>
    <t>Salário</t>
  </si>
  <si>
    <t xml:space="preserve"> Cenários</t>
  </si>
  <si>
    <t>Dividendo</t>
  </si>
  <si>
    <t>Percentual Sugerido</t>
  </si>
  <si>
    <t>Valores</t>
  </si>
  <si>
    <t>Configurações</t>
  </si>
  <si>
    <t>Investimento mensal</t>
  </si>
  <si>
    <t>Patrimônio</t>
  </si>
  <si>
    <t>Valor a ser investido por mês</t>
  </si>
  <si>
    <t>Rendimento carteira</t>
  </si>
  <si>
    <t>Quanto em 2 anos?</t>
  </si>
  <si>
    <t>Quanto em 5 anos?</t>
  </si>
  <si>
    <t>Quanto em 10 anos?</t>
  </si>
  <si>
    <t>Quanto em 20 anos?</t>
  </si>
  <si>
    <t>Quanto em 30 anos?</t>
  </si>
  <si>
    <t>Dividendos mensais?</t>
  </si>
  <si>
    <t>Patrimônio acumulado?</t>
  </si>
  <si>
    <t>Taxa de rendimento mensal?</t>
  </si>
  <si>
    <t>Por quantos anos?</t>
  </si>
  <si>
    <t>Quanto investir por mês?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</si>
</sst>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8"/>
      <color theme="0"/>
      <name val="Segoe UI"/>
      <family val="2"/>
    </font>
    <font>
      <b/>
      <sz val="20"/>
      <color theme="0"/>
      <name val="Segoe UI"/>
      <family val="2"/>
    </font>
    <font>
      <b/>
      <sz val="12"/>
      <color theme="0"/>
      <name val="Segoe UI"/>
      <family val="2"/>
    </font>
    <font>
      <sz val="11"/>
      <color theme="0"/>
      <name val="Segoe UI"/>
      <family val="2"/>
    </font>
    <font>
      <sz val="11"/>
      <color rgb="FF3F3F76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2BD74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1" applyNumberFormat="0" applyAlignment="0" applyProtection="0"/>
    <xf numFmtId="0" fontId="1" fillId="3" borderId="2" applyNumberFormat="0" applyFont="0" applyAlignment="0" applyProtection="0"/>
  </cellStyleXfs>
  <cellXfs count="61">
    <xf numFmtId="0" fontId="0" fillId="0" borderId="0" xfId="0"/>
    <xf numFmtId="9" fontId="0" fillId="0" borderId="0" xfId="2" applyFont="1"/>
    <xf numFmtId="0" fontId="2" fillId="3" borderId="2" xfId="4" applyFont="1"/>
    <xf numFmtId="9" fontId="2" fillId="3" borderId="2" xfId="4" applyNumberFormat="1" applyFont="1"/>
    <xf numFmtId="164" fontId="5" fillId="0" borderId="9" xfId="1" applyNumberFormat="1" applyFont="1" applyBorder="1" applyAlignment="1">
      <alignment horizontal="center"/>
    </xf>
    <xf numFmtId="10" fontId="5" fillId="0" borderId="12" xfId="0" applyNumberFormat="1" applyFont="1" applyBorder="1" applyAlignment="1">
      <alignment horizontal="center"/>
    </xf>
    <xf numFmtId="164" fontId="5" fillId="4" borderId="15" xfId="0" applyNumberFormat="1" applyFont="1" applyFill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0" fontId="6" fillId="0" borderId="12" xfId="0" applyNumberFormat="1" applyFont="1" applyBorder="1" applyAlignment="1">
      <alignment horizontal="center"/>
    </xf>
    <xf numFmtId="8" fontId="6" fillId="5" borderId="12" xfId="0" applyNumberFormat="1" applyFont="1" applyFill="1" applyBorder="1" applyAlignment="1">
      <alignment horizontal="center"/>
    </xf>
    <xf numFmtId="8" fontId="6" fillId="5" borderId="15" xfId="0" applyNumberFormat="1" applyFont="1" applyFill="1" applyBorder="1" applyAlignment="1">
      <alignment horizontal="center"/>
    </xf>
    <xf numFmtId="164" fontId="5" fillId="5" borderId="20" xfId="0" applyNumberFormat="1" applyFont="1" applyFill="1" applyBorder="1" applyAlignment="1">
      <alignment horizontal="center"/>
    </xf>
    <xf numFmtId="164" fontId="5" fillId="5" borderId="21" xfId="0" applyNumberFormat="1" applyFont="1" applyFill="1" applyBorder="1" applyAlignment="1">
      <alignment horizontal="center"/>
    </xf>
    <xf numFmtId="164" fontId="5" fillId="5" borderId="22" xfId="0" applyNumberFormat="1" applyFont="1" applyFill="1" applyBorder="1" applyAlignment="1">
      <alignment horizontal="center"/>
    </xf>
    <xf numFmtId="164" fontId="5" fillId="5" borderId="23" xfId="0" applyNumberFormat="1" applyFont="1" applyFill="1" applyBorder="1" applyAlignment="1">
      <alignment horizontal="center"/>
    </xf>
    <xf numFmtId="164" fontId="5" fillId="5" borderId="24" xfId="0" applyNumberFormat="1" applyFont="1" applyFill="1" applyBorder="1" applyAlignment="1">
      <alignment horizontal="center"/>
    </xf>
    <xf numFmtId="164" fontId="5" fillId="5" borderId="25" xfId="0" applyNumberFormat="1" applyFont="1" applyFill="1" applyBorder="1" applyAlignment="1">
      <alignment horizontal="center"/>
    </xf>
    <xf numFmtId="0" fontId="4" fillId="4" borderId="26" xfId="0" applyFont="1" applyFill="1" applyBorder="1" applyAlignment="1">
      <alignment horizontal="left" indent="1"/>
    </xf>
    <xf numFmtId="0" fontId="4" fillId="4" borderId="27" xfId="0" applyFont="1" applyFill="1" applyBorder="1" applyAlignment="1">
      <alignment horizontal="left" indent="1"/>
    </xf>
    <xf numFmtId="0" fontId="4" fillId="4" borderId="28" xfId="0" applyFont="1" applyFill="1" applyBorder="1" applyAlignment="1"/>
    <xf numFmtId="9" fontId="5" fillId="4" borderId="8" xfId="2" applyFont="1" applyFill="1" applyBorder="1" applyAlignment="1"/>
    <xf numFmtId="0" fontId="5" fillId="4" borderId="7" xfId="0" applyFont="1" applyFill="1" applyBorder="1" applyAlignment="1"/>
    <xf numFmtId="164" fontId="5" fillId="4" borderId="9" xfId="2" applyNumberFormat="1" applyFont="1" applyFill="1" applyBorder="1" applyAlignment="1"/>
    <xf numFmtId="44" fontId="4" fillId="4" borderId="17" xfId="1" applyFont="1" applyFill="1" applyBorder="1" applyAlignment="1">
      <alignment horizontal="center"/>
    </xf>
    <xf numFmtId="44" fontId="4" fillId="4" borderId="19" xfId="1" applyFont="1" applyFill="1" applyBorder="1" applyAlignment="1">
      <alignment horizontal="center"/>
    </xf>
    <xf numFmtId="0" fontId="5" fillId="0" borderId="0" xfId="0" applyFont="1"/>
    <xf numFmtId="0" fontId="8" fillId="7" borderId="17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9" fontId="5" fillId="0" borderId="0" xfId="0" applyNumberFormat="1" applyFont="1"/>
    <xf numFmtId="0" fontId="9" fillId="8" borderId="16" xfId="0" applyFont="1" applyFill="1" applyBorder="1" applyAlignment="1">
      <alignment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11" fillId="0" borderId="0" xfId="0" applyFont="1"/>
    <xf numFmtId="0" fontId="12" fillId="2" borderId="29" xfId="3" applyFont="1" applyBorder="1"/>
    <xf numFmtId="0" fontId="12" fillId="2" borderId="30" xfId="3" applyFont="1" applyBorder="1" applyAlignment="1">
      <alignment horizontal="center"/>
    </xf>
    <xf numFmtId="0" fontId="12" fillId="2" borderId="6" xfId="3" applyFont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6" borderId="31" xfId="0" applyFont="1" applyFill="1" applyBorder="1"/>
    <xf numFmtId="0" fontId="6" fillId="6" borderId="3" xfId="0" applyFont="1" applyFill="1" applyBorder="1"/>
    <xf numFmtId="164" fontId="6" fillId="6" borderId="32" xfId="0" applyNumberFormat="1" applyFont="1" applyFill="1" applyBorder="1" applyAlignment="1">
      <alignment horizontal="center"/>
    </xf>
    <xf numFmtId="0" fontId="4" fillId="5" borderId="20" xfId="0" applyFont="1" applyFill="1" applyBorder="1" applyAlignment="1">
      <alignment horizontal="left" indent="1"/>
    </xf>
    <xf numFmtId="0" fontId="4" fillId="5" borderId="21" xfId="0" applyFont="1" applyFill="1" applyBorder="1" applyAlignment="1">
      <alignment horizontal="left" indent="1"/>
    </xf>
    <xf numFmtId="0" fontId="4" fillId="5" borderId="22" xfId="0" applyFont="1" applyFill="1" applyBorder="1" applyAlignment="1">
      <alignment horizontal="left" indent="1"/>
    </xf>
    <xf numFmtId="0" fontId="4" fillId="4" borderId="7" xfId="0" applyFont="1" applyFill="1" applyBorder="1" applyAlignment="1">
      <alignment horizontal="left" indent="1"/>
    </xf>
    <xf numFmtId="0" fontId="4" fillId="4" borderId="8" xfId="0" applyFont="1" applyFill="1" applyBorder="1" applyAlignment="1">
      <alignment horizontal="left" indent="1"/>
    </xf>
    <xf numFmtId="0" fontId="4" fillId="4" borderId="10" xfId="0" applyFont="1" applyFill="1" applyBorder="1" applyAlignment="1">
      <alignment horizontal="left" indent="1"/>
    </xf>
    <xf numFmtId="0" fontId="4" fillId="4" borderId="11" xfId="0" applyFont="1" applyFill="1" applyBorder="1" applyAlignment="1">
      <alignment horizontal="left" indent="1"/>
    </xf>
    <xf numFmtId="0" fontId="4" fillId="4" borderId="13" xfId="0" applyFont="1" applyFill="1" applyBorder="1" applyAlignment="1">
      <alignment horizontal="left" indent="1"/>
    </xf>
    <xf numFmtId="0" fontId="4" fillId="4" borderId="14" xfId="0" applyFont="1" applyFill="1" applyBorder="1" applyAlignment="1">
      <alignment horizontal="left" indent="1"/>
    </xf>
    <xf numFmtId="0" fontId="7" fillId="5" borderId="10" xfId="0" applyFont="1" applyFill="1" applyBorder="1" applyAlignment="1">
      <alignment horizontal="left" indent="1"/>
    </xf>
    <xf numFmtId="0" fontId="7" fillId="5" borderId="11" xfId="0" applyFont="1" applyFill="1" applyBorder="1" applyAlignment="1">
      <alignment horizontal="left" indent="1"/>
    </xf>
    <xf numFmtId="0" fontId="7" fillId="5" borderId="13" xfId="0" applyFont="1" applyFill="1" applyBorder="1" applyAlignment="1">
      <alignment horizontal="left" indent="1"/>
    </xf>
    <xf numFmtId="0" fontId="7" fillId="5" borderId="14" xfId="0" applyFont="1" applyFill="1" applyBorder="1" applyAlignment="1">
      <alignment horizontal="left" indent="1"/>
    </xf>
    <xf numFmtId="9" fontId="11" fillId="0" borderId="0" xfId="2" applyFont="1"/>
  </cellXfs>
  <cellStyles count="5">
    <cellStyle name="Entrada" xfId="3" builtinId="20"/>
    <cellStyle name="Moeda" xfId="1" builtinId="4"/>
    <cellStyle name="Normal" xfId="0" builtinId="0"/>
    <cellStyle name="Nota" xfId="4" builtinId="1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FB-4A0A-8E24-EE95A2104EC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0FB-4A0A-8E24-EE95A2104EC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0FB-4A0A-8E24-EE95A2104EC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0FB-4A0A-8E24-EE95A2104EC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0FB-4A0A-8E24-EE95A2104EC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0FB-4A0A-8E24-EE95A2104E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app!$C$33:$C$38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0FB-4A0A-8E24-EE95A2104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39</xdr:row>
      <xdr:rowOff>97971</xdr:rowOff>
    </xdr:from>
    <xdr:to>
      <xdr:col>3</xdr:col>
      <xdr:colOff>892175</xdr:colOff>
      <xdr:row>52</xdr:row>
      <xdr:rowOff>35832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DFAB41A-635C-401B-882F-0AF5647E0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337704</xdr:colOff>
      <xdr:row>0</xdr:row>
      <xdr:rowOff>60613</xdr:rowOff>
    </xdr:from>
    <xdr:to>
      <xdr:col>4</xdr:col>
      <xdr:colOff>95250</xdr:colOff>
      <xdr:row>7</xdr:row>
      <xdr:rowOff>164400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894E74A-103D-4289-81AB-E0EC38E950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099" t="17771" r="4957" b="22881"/>
        <a:stretch>
          <a:fillRect/>
        </a:stretch>
      </xdr:blipFill>
      <xdr:spPr>
        <a:xfrm>
          <a:off x="337704" y="60613"/>
          <a:ext cx="5697682" cy="15585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81002209\Downloads\a04b81b1-8e35-4e72-aeb9-98aed8ed4403.xlsx" TargetMode="External"/><Relationship Id="rId1" Type="http://schemas.openxmlformats.org/officeDocument/2006/relationships/externalLinkPath" Target="a04b81b1-8e35-4e72-aeb9-98aed8ed44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"/>
      <sheetName val="Planilha2"/>
    </sheetNames>
    <sheetDataSet>
      <sheetData sheetId="0">
        <row r="35">
          <cell r="C35" t="str">
            <v>Percentual Sugerido</v>
          </cell>
        </row>
        <row r="36">
          <cell r="B36" t="str">
            <v>PAPEL</v>
          </cell>
          <cell r="C36">
            <v>0.32</v>
          </cell>
        </row>
        <row r="37">
          <cell r="B37" t="str">
            <v>TIJOLO</v>
          </cell>
          <cell r="C37">
            <v>0.35</v>
          </cell>
        </row>
        <row r="38">
          <cell r="B38" t="str">
            <v>HÍBRIDOS</v>
          </cell>
          <cell r="C38">
            <v>0.08</v>
          </cell>
        </row>
        <row r="39">
          <cell r="B39" t="str">
            <v>FOFs</v>
          </cell>
          <cell r="C39">
            <v>0.05</v>
          </cell>
        </row>
        <row r="40">
          <cell r="B40" t="str">
            <v>DESENVOLVIMENTO</v>
          </cell>
          <cell r="C40">
            <v>0.1</v>
          </cell>
        </row>
        <row r="41">
          <cell r="B41" t="str">
            <v>HOTELARIAS</v>
          </cell>
          <cell r="C41">
            <v>0.1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E5A81-CB7D-4900-9A9F-3C9905A0D757}" name="Tabela1" displayName="Tabela1" ref="A1:D19" totalsRowShown="0">
  <autoFilter ref="A1:D19" xr:uid="{6D6E5A81-CB7D-4900-9A9F-3C9905A0D757}"/>
  <tableColumns count="4">
    <tableColumn id="1" xr3:uid="{87EC8FED-174D-4541-A2DE-B40F028A2995}" name="Chave">
      <calculatedColumnFormula>B2&amp;"-"&amp;C2</calculatedColumnFormula>
    </tableColumn>
    <tableColumn id="2" xr3:uid="{D61CCCA5-F623-4E17-8BE7-CA90E84B507D}" name="Perfil"/>
    <tableColumn id="3" xr3:uid="{20608178-7DB9-47B4-8D6F-E4908CBD892D}" name="Tipo de FII"/>
    <tableColumn id="4" xr3:uid="{935B97F4-376F-480C-80DA-32A6E0690FD6}" name="%" dataCellStyle="Porcentage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4F53-245D-4BE2-9EBD-75175E6623E6}">
  <dimension ref="A9:H39"/>
  <sheetViews>
    <sheetView showGridLines="0" showRowColHeaders="0" tabSelected="1" zoomScale="110" zoomScaleNormal="110" workbookViewId="0"/>
  </sheetViews>
  <sheetFormatPr defaultColWidth="0" defaultRowHeight="16.5" x14ac:dyDescent="0.3"/>
  <cols>
    <col min="1" max="1" width="5.42578125" style="26" customWidth="1"/>
    <col min="2" max="2" width="46.85546875" style="26" customWidth="1"/>
    <col min="3" max="3" width="21.7109375" style="26" bestFit="1" customWidth="1"/>
    <col min="4" max="4" width="15" style="26" customWidth="1"/>
    <col min="5" max="8" width="3.5703125" style="26" customWidth="1"/>
    <col min="9" max="16384" width="8.7109375" style="26" hidden="1"/>
  </cols>
  <sheetData>
    <row r="9" spans="1:4" ht="17.25" thickBot="1" x14ac:dyDescent="0.35"/>
    <row r="10" spans="1:4" ht="27" thickBot="1" x14ac:dyDescent="0.35">
      <c r="B10" s="27" t="s">
        <v>19</v>
      </c>
      <c r="C10" s="28"/>
      <c r="D10" s="29"/>
    </row>
    <row r="11" spans="1:4" ht="17.25" x14ac:dyDescent="0.3">
      <c r="B11" s="50" t="s">
        <v>14</v>
      </c>
      <c r="C11" s="51"/>
      <c r="D11" s="4">
        <v>2000</v>
      </c>
    </row>
    <row r="12" spans="1:4" ht="17.25" x14ac:dyDescent="0.3">
      <c r="B12" s="52" t="s">
        <v>23</v>
      </c>
      <c r="C12" s="53"/>
      <c r="D12" s="5">
        <v>6.0000000000000001E-3</v>
      </c>
    </row>
    <row r="13" spans="1:4" ht="18" thickBot="1" x14ac:dyDescent="0.35">
      <c r="A13" s="60">
        <v>0.3</v>
      </c>
      <c r="B13" s="54" t="str">
        <f>"Sugestão de investimento ("&amp;A13*100&amp;"%)"</f>
        <v>Sugestão de investimento (30%)</v>
      </c>
      <c r="C13" s="55"/>
      <c r="D13" s="6">
        <f>D11*A13</f>
        <v>600</v>
      </c>
    </row>
    <row r="14" spans="1:4" ht="17.25" thickBot="1" x14ac:dyDescent="0.35"/>
    <row r="15" spans="1:4" ht="28.5" customHeight="1" thickBot="1" x14ac:dyDescent="0.35">
      <c r="B15" s="30" t="s">
        <v>20</v>
      </c>
      <c r="C15" s="31"/>
      <c r="D15" s="32"/>
    </row>
    <row r="16" spans="1:4" ht="17.25" x14ac:dyDescent="0.3">
      <c r="B16" s="50" t="s">
        <v>33</v>
      </c>
      <c r="C16" s="51"/>
      <c r="D16" s="7">
        <v>200</v>
      </c>
    </row>
    <row r="17" spans="1:6" ht="17.25" x14ac:dyDescent="0.3">
      <c r="B17" s="52" t="s">
        <v>32</v>
      </c>
      <c r="C17" s="53"/>
      <c r="D17" s="8">
        <v>5</v>
      </c>
    </row>
    <row r="18" spans="1:6" ht="17.25" x14ac:dyDescent="0.3">
      <c r="B18" s="18" t="s">
        <v>31</v>
      </c>
      <c r="C18" s="19"/>
      <c r="D18" s="9">
        <v>1.0789999999999999E-2</v>
      </c>
    </row>
    <row r="19" spans="1:6" ht="17.25" x14ac:dyDescent="0.3">
      <c r="B19" s="56" t="s">
        <v>30</v>
      </c>
      <c r="C19" s="57"/>
      <c r="D19" s="10">
        <f>FV(taxa_mensal,qtd_anos*12,aporte*-1)</f>
        <v>16755.382799697527</v>
      </c>
    </row>
    <row r="20" spans="1:6" ht="18" thickBot="1" x14ac:dyDescent="0.35">
      <c r="B20" s="58" t="s">
        <v>29</v>
      </c>
      <c r="C20" s="59"/>
      <c r="D20" s="11">
        <f>patrimonio*rendimento_carteira</f>
        <v>100.53229679818516</v>
      </c>
      <c r="F20" s="33"/>
    </row>
    <row r="21" spans="1:6" ht="17.25" thickBot="1" x14ac:dyDescent="0.35"/>
    <row r="22" spans="1:6" ht="31.5" thickBot="1" x14ac:dyDescent="0.35">
      <c r="B22" s="34" t="s">
        <v>15</v>
      </c>
      <c r="C22" s="35" t="s">
        <v>21</v>
      </c>
      <c r="D22" s="36" t="s">
        <v>16</v>
      </c>
    </row>
    <row r="23" spans="1:6" ht="17.25" x14ac:dyDescent="0.3">
      <c r="A23" s="37">
        <v>2</v>
      </c>
      <c r="B23" s="47" t="s">
        <v>24</v>
      </c>
      <c r="C23" s="15">
        <f>FV($D$18,$A23*12,$D$16*-1)</f>
        <v>5445.5254595290435</v>
      </c>
      <c r="D23" s="12">
        <f>C23*rendimento_carteira</f>
        <v>32.673152757174265</v>
      </c>
    </row>
    <row r="24" spans="1:6" ht="17.25" x14ac:dyDescent="0.3">
      <c r="A24" s="37">
        <v>5</v>
      </c>
      <c r="B24" s="48" t="s">
        <v>25</v>
      </c>
      <c r="C24" s="16">
        <f>FV($D$18,$A24*12,$D$16*-1)</f>
        <v>16755.382799697527</v>
      </c>
      <c r="D24" s="13">
        <f>C24*rendimento_carteira</f>
        <v>100.53229679818516</v>
      </c>
    </row>
    <row r="25" spans="1:6" ht="17.25" x14ac:dyDescent="0.3">
      <c r="A25" s="37">
        <v>10</v>
      </c>
      <c r="B25" s="48" t="s">
        <v>26</v>
      </c>
      <c r="C25" s="16">
        <f>FV($D$18,$A25*12,$D$16*-1)</f>
        <v>48656.842506034438</v>
      </c>
      <c r="D25" s="13">
        <f>C25*rendimento_carteira</f>
        <v>291.94105503620665</v>
      </c>
    </row>
    <row r="26" spans="1:6" ht="17.25" x14ac:dyDescent="0.3">
      <c r="A26" s="37">
        <v>20</v>
      </c>
      <c r="B26" s="48" t="s">
        <v>27</v>
      </c>
      <c r="C26" s="16">
        <f>FV($D$18,$A26*12,$D$16*-1)</f>
        <v>225039.68001941612</v>
      </c>
      <c r="D26" s="13">
        <f>C26*rendimento_carteira</f>
        <v>1350.2380801164968</v>
      </c>
    </row>
    <row r="27" spans="1:6" ht="18" thickBot="1" x14ac:dyDescent="0.35">
      <c r="A27" s="37">
        <v>30</v>
      </c>
      <c r="B27" s="49" t="s">
        <v>28</v>
      </c>
      <c r="C27" s="17">
        <f>FV($D$18,$A27*12,$D$16*-1)</f>
        <v>864433.93100094295</v>
      </c>
      <c r="D27" s="14">
        <f>C27*rendimento_carteira</f>
        <v>5186.6035860056581</v>
      </c>
    </row>
    <row r="28" spans="1:6" ht="17.25" thickBot="1" x14ac:dyDescent="0.35"/>
    <row r="29" spans="1:6" ht="17.25" thickBot="1" x14ac:dyDescent="0.35">
      <c r="B29" s="38" t="s">
        <v>1</v>
      </c>
      <c r="C29" s="39" t="s">
        <v>4</v>
      </c>
      <c r="D29" s="40"/>
    </row>
    <row r="30" spans="1:6" ht="18" thickBot="1" x14ac:dyDescent="0.35">
      <c r="B30" s="20" t="s">
        <v>22</v>
      </c>
      <c r="C30" s="24">
        <f>aporte</f>
        <v>200</v>
      </c>
      <c r="D30" s="25"/>
    </row>
    <row r="31" spans="1:6" ht="17.25" thickBot="1" x14ac:dyDescent="0.35"/>
    <row r="32" spans="1:6" x14ac:dyDescent="0.3">
      <c r="B32" s="41" t="s">
        <v>2</v>
      </c>
      <c r="C32" s="42" t="s">
        <v>17</v>
      </c>
      <c r="D32" s="43" t="s">
        <v>18</v>
      </c>
    </row>
    <row r="33" spans="2:4" x14ac:dyDescent="0.3">
      <c r="B33" s="22" t="s">
        <v>5</v>
      </c>
      <c r="C33" s="21">
        <f>VLOOKUP($C$29&amp;"-"&amp;B33,perfil_fii!$A:$D,4,FALSE)</f>
        <v>0.3</v>
      </c>
      <c r="D33" s="23">
        <f>C33*$C$30</f>
        <v>60</v>
      </c>
    </row>
    <row r="34" spans="2:4" x14ac:dyDescent="0.3">
      <c r="B34" s="22" t="s">
        <v>6</v>
      </c>
      <c r="C34" s="21">
        <f>VLOOKUP($C$29&amp;"-"&amp;B34,perfil_fii!$A:$D,4,FALSE)</f>
        <v>0.5</v>
      </c>
      <c r="D34" s="23">
        <f t="shared" ref="D34:D38" si="0">C34*$C$30</f>
        <v>100</v>
      </c>
    </row>
    <row r="35" spans="2:4" x14ac:dyDescent="0.3">
      <c r="B35" s="22" t="s">
        <v>7</v>
      </c>
      <c r="C35" s="21">
        <f>VLOOKUP($C$29&amp;"-"&amp;B35,perfil_fii!$A:$D,4,FALSE)</f>
        <v>0.1</v>
      </c>
      <c r="D35" s="23">
        <f t="shared" si="0"/>
        <v>20</v>
      </c>
    </row>
    <row r="36" spans="2:4" x14ac:dyDescent="0.3">
      <c r="B36" s="22" t="s">
        <v>8</v>
      </c>
      <c r="C36" s="21">
        <f>VLOOKUP($C$29&amp;"-"&amp;B36,perfil_fii!$A:$D,4,FALSE)</f>
        <v>0.1</v>
      </c>
      <c r="D36" s="23">
        <f t="shared" si="0"/>
        <v>20</v>
      </c>
    </row>
    <row r="37" spans="2:4" x14ac:dyDescent="0.3">
      <c r="B37" s="22" t="s">
        <v>9</v>
      </c>
      <c r="C37" s="21">
        <f>VLOOKUP($C$29&amp;"-"&amp;B37,perfil_fii!$A:$D,4,FALSE)</f>
        <v>0</v>
      </c>
      <c r="D37" s="23">
        <f t="shared" si="0"/>
        <v>0</v>
      </c>
    </row>
    <row r="38" spans="2:4" x14ac:dyDescent="0.3">
      <c r="B38" s="22" t="s">
        <v>10</v>
      </c>
      <c r="C38" s="21">
        <f>VLOOKUP($C$29&amp;"-"&amp;B38,perfil_fii!$A:$D,4,FALSE)</f>
        <v>0</v>
      </c>
      <c r="D38" s="23">
        <f t="shared" si="0"/>
        <v>0</v>
      </c>
    </row>
    <row r="39" spans="2:4" ht="17.25" thickBot="1" x14ac:dyDescent="0.35">
      <c r="B39" s="44"/>
      <c r="C39" s="45"/>
      <c r="D39" s="46">
        <f>SUM(D33:D38)</f>
        <v>200</v>
      </c>
    </row>
  </sheetData>
  <mergeCells count="12">
    <mergeCell ref="C30:D30"/>
    <mergeCell ref="B18:C18"/>
    <mergeCell ref="B19:C19"/>
    <mergeCell ref="B20:C20"/>
    <mergeCell ref="B10:D10"/>
    <mergeCell ref="C29:D29"/>
    <mergeCell ref="B11:C11"/>
    <mergeCell ref="B12:C12"/>
    <mergeCell ref="B13:C13"/>
    <mergeCell ref="B15:D15"/>
    <mergeCell ref="B16:C16"/>
    <mergeCell ref="B17:C17"/>
  </mergeCells>
  <dataValidations count="1">
    <dataValidation type="list" allowBlank="1" showInputMessage="1" showErrorMessage="1" sqref="C29" xr:uid="{601CB849-3A90-4D3F-A5E2-06DD58EAF964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C278-7D9A-4D39-9703-7667EFC8DDD5}">
  <dimension ref="A1:H19"/>
  <sheetViews>
    <sheetView workbookViewId="0"/>
  </sheetViews>
  <sheetFormatPr defaultRowHeight="15" x14ac:dyDescent="0.25"/>
  <cols>
    <col min="1" max="1" width="28.42578125" bestFit="1" customWidth="1"/>
    <col min="2" max="2" width="12.140625" bestFit="1" customWidth="1"/>
    <col min="3" max="3" width="16.140625" bestFit="1" customWidth="1"/>
    <col min="7" max="7" width="16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x14ac:dyDescent="0.25">
      <c r="A2" t="str">
        <f>B2&amp;"-"&amp;C2</f>
        <v>Conservador-Papel</v>
      </c>
      <c r="B2" t="s">
        <v>4</v>
      </c>
      <c r="C2" t="s">
        <v>5</v>
      </c>
      <c r="D2" s="1">
        <v>0.3</v>
      </c>
    </row>
    <row r="3" spans="1:8" x14ac:dyDescent="0.25">
      <c r="A3" t="str">
        <f t="shared" ref="A3:A19" si="0">B3&amp;"-"&amp;C3</f>
        <v>Conservador-Tijolo</v>
      </c>
      <c r="B3" t="s">
        <v>4</v>
      </c>
      <c r="C3" t="s">
        <v>6</v>
      </c>
      <c r="D3" s="1">
        <v>0.5</v>
      </c>
    </row>
    <row r="4" spans="1:8" x14ac:dyDescent="0.25">
      <c r="A4" t="str">
        <f t="shared" si="0"/>
        <v>Conservador-Híbridos</v>
      </c>
      <c r="B4" t="s">
        <v>4</v>
      </c>
      <c r="C4" t="s">
        <v>7</v>
      </c>
      <c r="D4" s="1">
        <v>0.1</v>
      </c>
      <c r="G4" s="2" t="s">
        <v>13</v>
      </c>
      <c r="H4" s="3">
        <f>VLOOKUP(G4,$A:$D,4,FALSE)</f>
        <v>0.35</v>
      </c>
    </row>
    <row r="5" spans="1:8" x14ac:dyDescent="0.25">
      <c r="A5" t="str">
        <f t="shared" si="0"/>
        <v>Conservador-FOFs</v>
      </c>
      <c r="B5" t="s">
        <v>4</v>
      </c>
      <c r="C5" t="s">
        <v>8</v>
      </c>
      <c r="D5" s="1">
        <v>0.1</v>
      </c>
    </row>
    <row r="6" spans="1:8" x14ac:dyDescent="0.25">
      <c r="A6" t="str">
        <f t="shared" si="0"/>
        <v>Conservador-Desenvolvimento</v>
      </c>
      <c r="B6" t="s">
        <v>4</v>
      </c>
      <c r="C6" t="s">
        <v>9</v>
      </c>
      <c r="D6" s="1">
        <v>0</v>
      </c>
    </row>
    <row r="7" spans="1:8" x14ac:dyDescent="0.25">
      <c r="A7" t="str">
        <f t="shared" si="0"/>
        <v>Conservador-Hotelarias</v>
      </c>
      <c r="B7" t="s">
        <v>4</v>
      </c>
      <c r="C7" t="s">
        <v>10</v>
      </c>
      <c r="D7" s="1">
        <v>0</v>
      </c>
    </row>
    <row r="8" spans="1:8" x14ac:dyDescent="0.25">
      <c r="A8" t="str">
        <f t="shared" si="0"/>
        <v>Moderado-Papel</v>
      </c>
      <c r="B8" t="s">
        <v>11</v>
      </c>
      <c r="C8" t="s">
        <v>5</v>
      </c>
      <c r="D8" s="1">
        <v>0.32</v>
      </c>
    </row>
    <row r="9" spans="1:8" x14ac:dyDescent="0.25">
      <c r="A9" t="str">
        <f t="shared" si="0"/>
        <v>Moderado-Tijolo</v>
      </c>
      <c r="B9" t="s">
        <v>11</v>
      </c>
      <c r="C9" t="s">
        <v>6</v>
      </c>
      <c r="D9" s="1">
        <v>0.35</v>
      </c>
    </row>
    <row r="10" spans="1:8" x14ac:dyDescent="0.25">
      <c r="A10" t="str">
        <f t="shared" si="0"/>
        <v>Moderado-Híbridos</v>
      </c>
      <c r="B10" t="s">
        <v>11</v>
      </c>
      <c r="C10" t="s">
        <v>7</v>
      </c>
      <c r="D10" s="1">
        <v>0.08</v>
      </c>
    </row>
    <row r="11" spans="1:8" x14ac:dyDescent="0.25">
      <c r="A11" t="str">
        <f t="shared" si="0"/>
        <v>Moderado-FOFs</v>
      </c>
      <c r="B11" t="s">
        <v>11</v>
      </c>
      <c r="C11" t="s">
        <v>8</v>
      </c>
      <c r="D11" s="1">
        <v>0.05</v>
      </c>
    </row>
    <row r="12" spans="1:8" x14ac:dyDescent="0.25">
      <c r="A12" t="str">
        <f t="shared" si="0"/>
        <v>Moderado-Desenvolvimento</v>
      </c>
      <c r="B12" t="s">
        <v>11</v>
      </c>
      <c r="C12" t="s">
        <v>9</v>
      </c>
      <c r="D12" s="1">
        <v>0.1</v>
      </c>
    </row>
    <row r="13" spans="1:8" x14ac:dyDescent="0.25">
      <c r="A13" t="str">
        <f t="shared" si="0"/>
        <v>Moderado-Hotelarias</v>
      </c>
      <c r="B13" t="s">
        <v>11</v>
      </c>
      <c r="C13" t="s">
        <v>10</v>
      </c>
      <c r="D13" s="1">
        <v>0.1</v>
      </c>
    </row>
    <row r="14" spans="1:8" x14ac:dyDescent="0.25">
      <c r="A14" t="str">
        <f t="shared" si="0"/>
        <v>Agressivo-Papel</v>
      </c>
      <c r="B14" t="s">
        <v>12</v>
      </c>
      <c r="C14" t="s">
        <v>5</v>
      </c>
      <c r="D14" s="1">
        <v>0.5</v>
      </c>
    </row>
    <row r="15" spans="1:8" x14ac:dyDescent="0.25">
      <c r="A15" t="str">
        <f t="shared" si="0"/>
        <v>Agressivo-Tijolo</v>
      </c>
      <c r="B15" t="s">
        <v>12</v>
      </c>
      <c r="C15" t="s">
        <v>6</v>
      </c>
      <c r="D15" s="1">
        <v>0.1</v>
      </c>
    </row>
    <row r="16" spans="1:8" x14ac:dyDescent="0.25">
      <c r="A16" t="str">
        <f t="shared" si="0"/>
        <v>Agressivo-Híbridos</v>
      </c>
      <c r="B16" t="s">
        <v>12</v>
      </c>
      <c r="C16" t="s">
        <v>7</v>
      </c>
      <c r="D16" s="1">
        <v>0.05</v>
      </c>
    </row>
    <row r="17" spans="1:4" x14ac:dyDescent="0.25">
      <c r="A17" t="str">
        <f t="shared" si="0"/>
        <v>Agressivo-FOFs</v>
      </c>
      <c r="B17" t="s">
        <v>12</v>
      </c>
      <c r="C17" t="s">
        <v>8</v>
      </c>
      <c r="D17" s="1">
        <v>0.05</v>
      </c>
    </row>
    <row r="18" spans="1:4" x14ac:dyDescent="0.25">
      <c r="A18" t="str">
        <f t="shared" si="0"/>
        <v>Agressivo-Desenvolvimento</v>
      </c>
      <c r="B18" t="s">
        <v>12</v>
      </c>
      <c r="C18" t="s">
        <v>9</v>
      </c>
      <c r="D18" s="1">
        <v>0.2</v>
      </c>
    </row>
    <row r="19" spans="1:4" x14ac:dyDescent="0.25">
      <c r="A19" t="str">
        <f t="shared" si="0"/>
        <v>Agressivo-Hotelarias</v>
      </c>
      <c r="B19" t="s">
        <v>12</v>
      </c>
      <c r="C19" t="s">
        <v>10</v>
      </c>
      <c r="D19" s="1">
        <v>0.1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perfil_fii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>Vale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Andrade</dc:creator>
  <cp:lastModifiedBy>Brenda Andrade</cp:lastModifiedBy>
  <dcterms:created xsi:type="dcterms:W3CDTF">2026-02-08T13:28:20Z</dcterms:created>
  <dcterms:modified xsi:type="dcterms:W3CDTF">2026-02-08T14:01:03Z</dcterms:modified>
</cp:coreProperties>
</file>